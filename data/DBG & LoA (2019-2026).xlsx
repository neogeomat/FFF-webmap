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23" documentId="8_{1B96A537-746F-46F8-800E-D19AECC8C6DC}" xr6:coauthVersionLast="47" xr6:coauthVersionMax="47" xr10:uidLastSave="{A05C1163-0FA1-4FAB-9EB8-96B5FEE7E757}"/>
  <bookViews>
    <workbookView xWindow="-120" yWindow="-120" windowWidth="29040" windowHeight="15720" xr2:uid="{00000000-000D-0000-FFFF-FFFF00000000}"/>
  </bookViews>
  <sheets>
    <sheet name="LoA (2019-26)" sheetId="1" r:id="rId1"/>
    <sheet name="DBG (2023-26)" sheetId="2" r:id="rId2"/>
  </sheets>
  <definedNames>
    <definedName name="_xlnm._FilterDatabase" localSheetId="0" hidden="1">'LoA (2019-26)'!$B$1:$G$69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2" l="1"/>
</calcChain>
</file>

<file path=xl/sharedStrings.xml><?xml version="1.0" encoding="utf-8"?>
<sst xmlns="http://schemas.openxmlformats.org/spreadsheetml/2006/main" count="244" uniqueCount="94">
  <si>
    <t>Service Start Date</t>
  </si>
  <si>
    <t>Service End Date</t>
  </si>
  <si>
    <t>CUR</t>
  </si>
  <si>
    <t>CUR Net Value</t>
  </si>
  <si>
    <t>USD Net Value</t>
  </si>
  <si>
    <t>IUCN INTERNATIONAL UNION FOR CONSERVATION OF NATURE AND NATURAL RESOURCES</t>
  </si>
  <si>
    <t>USD</t>
  </si>
  <si>
    <t>FEDERATION OF COMMUNITY FORESTRY USERS NEPAL (FECOFUN)</t>
  </si>
  <si>
    <t>NPR</t>
  </si>
  <si>
    <t>NATIONAL FARMERS GROUP FEDERATION NEPAL</t>
  </si>
  <si>
    <t>ASSOCIATION OF FAMILY FOREST OWNERS NEPAL (AFFON)</t>
  </si>
  <si>
    <t>ADHAR EKATA MAHILA SANTHA</t>
  </si>
  <si>
    <t>CENTRAL DAIRY COOPERATIVE ASSOCIATION LTD NEPAL (CDCAN)</t>
  </si>
  <si>
    <t>ASMITA NEPAL</t>
  </si>
  <si>
    <t>ASIA NETWORK FOR SUSTAINABLE AGRICULTURE AND BIORESOURCES (ANSAB)</t>
  </si>
  <si>
    <t>BUNGDAL COMMUNITY FOREST USER GROUP</t>
  </si>
  <si>
    <t>DANGDUNGE BAN UPABHOKTA SA</t>
  </si>
  <si>
    <t>JAGARAN SAMUDAYIK BIKASH KENDRA</t>
  </si>
  <si>
    <t>KANAYA KRISHAK SAMUHA</t>
  </si>
  <si>
    <t>RASTRIYA DALIT NETWORK (RDN)</t>
  </si>
  <si>
    <t>SHIVA SAMUDAYIK BAN UPABHOKTA SAMITI</t>
  </si>
  <si>
    <t>SUVAKAMANA SAMAJIK BIKASH SASTHA</t>
  </si>
  <si>
    <t>COMMUNITY RURAL DEVELOPMENT SOCIETY-NEPAL</t>
  </si>
  <si>
    <t>PARBATPHEDI SRIJANA YOVA CLUB</t>
  </si>
  <si>
    <t>WOMEN RIGHTS AND RESOURCES NETWORK</t>
  </si>
  <si>
    <t>GREEN FOUNDATION NEPAL (GFN)</t>
  </si>
  <si>
    <t>INSTITUTE OF HIMALAYAN RISK REDUCTION</t>
  </si>
  <si>
    <t>SUSTAINABLE RESEARCH AND DEVELOPMENT CENTER - NEPAL</t>
  </si>
  <si>
    <t>NATIONAL INDIGENOUS WOMEN FORUM (NIWF)</t>
  </si>
  <si>
    <t>SAMUDAYIC BIKASH TATHA SACHETA</t>
  </si>
  <si>
    <t>SAMUDAYA BATAWARAN TATHA BAL BIKASH SANGH</t>
  </si>
  <si>
    <t>PHULABARI COMMUNITY FORESTRY USERS GROUP</t>
  </si>
  <si>
    <t>BINAYI SAMUDAYIK BAN UPOBHOKTA SAMU</t>
  </si>
  <si>
    <t>BELAPAKHA SAMUDAYIK BAN UPABHOKTA SAMUHA</t>
  </si>
  <si>
    <t>LOCAL INITIATIVES FOR BIODIVERSITY RESEARCH AND DEVELOPMENT (LI-BIRD)</t>
  </si>
  <si>
    <t>CHUCHCHEKHOLA SAMUDAYIK BAN U SAMU</t>
  </si>
  <si>
    <t>PIPLE POKHARA SBUS</t>
  </si>
  <si>
    <t>JALDEVI SAMUDAYIK BAN UPBHOKTA SAMUHA</t>
  </si>
  <si>
    <t>SHIVNAGAR SAMUDAYIK BAN UPABHOKTA SAMUHA</t>
  </si>
  <si>
    <t>HILE JALJALE KA SAMUDAYIK BAN UPABHOKTA SAMUHA</t>
  </si>
  <si>
    <t>SHANKARNAGAR SAMUDAYEK VAN UPABHOKTA SAMUHA</t>
  </si>
  <si>
    <t>SAMUDAYAK UDHAMI MAHILA KRISHI KRISHAK SAMUHA</t>
  </si>
  <si>
    <t>CENTRAL LIVESTOCK CO OPERATIVE FED LTD NEPAL</t>
  </si>
  <si>
    <t>AANKUR AADARSHA SAMUDAYIK BAN UPABHOKTA SAMUHA</t>
  </si>
  <si>
    <t>KEMLIPUR CFUG MINAPA07</t>
  </si>
  <si>
    <t>AADHAR EKTA MAHILA KRISHAK SAMUHA</t>
  </si>
  <si>
    <t>RATU MAHILA SAMUHIK BAN U.SAMUH</t>
  </si>
  <si>
    <t>FORESTACTION NEPAL</t>
  </si>
  <si>
    <t>CENTER FOR PEOPLE AND FORESTS</t>
  </si>
  <si>
    <t>YUWALAYA</t>
  </si>
  <si>
    <t>WORLD FOOD FORUM NEPAL</t>
  </si>
  <si>
    <t>Organization Name</t>
  </si>
  <si>
    <t>Site Code</t>
  </si>
  <si>
    <t>Transaction Type Description</t>
  </si>
  <si>
    <t>CUR Net Ordered Value</t>
  </si>
  <si>
    <t>USD Net Ordered Value</t>
  </si>
  <si>
    <t>PASHUPATI COMMUNITY FOREST USERS GROUP</t>
  </si>
  <si>
    <t>MAKAWANPU (DBG)</t>
  </si>
  <si>
    <t>Direct Beneficiary Grant</t>
  </si>
  <si>
    <t>AADHUNIK AGRICULTURE CO-OPERATIVE L</t>
  </si>
  <si>
    <t>TANDI (DBG)</t>
  </si>
  <si>
    <t>HIMALAYAN GRASSROOTS WOMEN S NATURAL RESOURCE MANAGEMENT ASSOCIATION OF NEPAL (HIMAWANTI)</t>
  </si>
  <si>
    <t>LALITPUR (LOA)</t>
  </si>
  <si>
    <t>OUR RAJAKOT MULTI-PURPOSE COOPERATIVE SOCIETY LIMITED</t>
  </si>
  <si>
    <t>DANG (DBG)</t>
  </si>
  <si>
    <t>SAKRIYA MAHILA KRISI SHAKARI SA LT</t>
  </si>
  <si>
    <t>KAVREPLANC(DBG)</t>
  </si>
  <si>
    <t>RAJAPANI COMMUNITY FOREST USERS GROUP</t>
  </si>
  <si>
    <t>KAPILVASTU DBG</t>
  </si>
  <si>
    <t>COFEE SAHAKARI SANGH LTD</t>
  </si>
  <si>
    <t>SINDUPALCH DBG</t>
  </si>
  <si>
    <t>SANA KISHAN KRISHI SAHAKARI SASTHA</t>
  </si>
  <si>
    <t>SARLAHI (DBG)</t>
  </si>
  <si>
    <t>GOBARDIHA KASTHA TATHA FURNITURE UDHYOG</t>
  </si>
  <si>
    <t>SHREE KORAK SANA KISAN KRISHI SAHAKARI SANSTHA LTD</t>
  </si>
  <si>
    <t>CHITWAN (DBG)</t>
  </si>
  <si>
    <t>SUNDARDEEP MAHILA MACHHAPALAN S.S.L</t>
  </si>
  <si>
    <t>SHREE MISHREET FISH FARMING LIMITED</t>
  </si>
  <si>
    <t>NAWALPUR (DBG)</t>
  </si>
  <si>
    <t>MITHILA JADIBUTI SAHAKARI SANSTHA LTD</t>
  </si>
  <si>
    <t>DHALKEBAR (DBG)</t>
  </si>
  <si>
    <t>KUNCHHAL KRISHI SAHAKARI SA LTD</t>
  </si>
  <si>
    <t>MAKWANPUR (DBG)</t>
  </si>
  <si>
    <t>SHREE CHHOTADANDA AGRICULTURE COOPERATIVE</t>
  </si>
  <si>
    <t>KAVREPAL (DBG)</t>
  </si>
  <si>
    <t>NAWALPARASI LOA</t>
  </si>
  <si>
    <t>KATHMANDU LOA</t>
  </si>
  <si>
    <t>KATHMANDU (LOA)</t>
  </si>
  <si>
    <t>HATEMALO BEEKEEPING COOPERATIVE LTD</t>
  </si>
  <si>
    <t>HANUMAN KRISHI SAHAKARI SANSTHA LTD</t>
  </si>
  <si>
    <t>DHANUSHA (DBG)</t>
  </si>
  <si>
    <t>BHATIGHARI SAMUDAYIK BAN UPABHOKTA SAMUHA</t>
  </si>
  <si>
    <t>JADIBUTI SAMRAKSHYAN TATHA UPAYOG SAHAKARI SANSTHA LTD</t>
  </si>
  <si>
    <t>PALPA (DBG)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</si>
</sst>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</font>
    <font>
      <b/>
      <sz val="8"/>
      <color theme="1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" fontId="1" fillId="2" borderId="3" xfId="0" applyNumberFormat="1" applyFont="1" applyFill="1" applyBorder="1" applyAlignment="1">
      <alignment horizontal="righ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164" fontId="3" fillId="3" borderId="2" xfId="0" applyNumberFormat="1" applyFont="1" applyFill="1" applyBorder="1" applyAlignment="1">
      <alignment horizontal="left" vertical="top" wrapText="1"/>
    </xf>
    <xf numFmtId="4" fontId="3" fillId="3" borderId="2" xfId="0" applyNumberFormat="1" applyFont="1" applyFill="1" applyBorder="1" applyAlignment="1">
      <alignment horizontal="right" vertical="top" wrapText="1"/>
    </xf>
    <xf numFmtId="4" fontId="3" fillId="3" borderId="3" xfId="0" applyNumberFormat="1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164" fontId="4" fillId="3" borderId="5" xfId="0" applyNumberFormat="1" applyFont="1" applyFill="1" applyBorder="1" applyAlignment="1">
      <alignment horizontal="left" vertical="top" wrapText="1"/>
    </xf>
    <xf numFmtId="4" fontId="4" fillId="3" borderId="5" xfId="0" applyNumberFormat="1" applyFont="1" applyFill="1" applyBorder="1" applyAlignment="1">
      <alignment horizontal="right" vertical="top" wrapText="1"/>
    </xf>
    <xf numFmtId="0" fontId="0" fillId="2" borderId="5" xfId="0" applyFill="1" applyBorder="1" applyAlignment="1">
      <alignment horizontal="left" vertical="top" wrapText="1"/>
    </xf>
    <xf numFmtId="4" fontId="5" fillId="2" borderId="5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69"/>
  <sheetViews>
    <sheetView showGridLines="0" tabSelected="1" topLeftCell="A43" workbookViewId="0">
      <selection activeCell="B66" sqref="B66"/>
    </sheetView>
  </sheetViews>
  <sheetFormatPr defaultRowHeight="15" x14ac:dyDescent="0.25"/>
  <cols>
    <col min="1" max="1" width="3.5703125" customWidth="1"/>
    <col min="2" max="2" width="47.28515625" customWidth="1"/>
    <col min="3" max="3" width="10.42578125" customWidth="1"/>
    <col min="4" max="4" width="10.140625" customWidth="1"/>
    <col min="5" max="5" width="6" bestFit="1" customWidth="1"/>
    <col min="6" max="6" width="16.7109375" customWidth="1"/>
    <col min="7" max="7" width="12.85546875" bestFit="1" customWidth="1"/>
  </cols>
  <sheetData>
    <row r="1" spans="2:7" ht="27" customHeight="1" x14ac:dyDescent="0.25">
      <c r="B1" s="4" t="s">
        <v>51</v>
      </c>
      <c r="C1" s="4" t="s">
        <v>0</v>
      </c>
      <c r="D1" s="4" t="s">
        <v>1</v>
      </c>
      <c r="E1" s="4" t="s">
        <v>2</v>
      </c>
      <c r="F1" s="4" t="s">
        <v>3</v>
      </c>
      <c r="G1" s="5" t="s">
        <v>4</v>
      </c>
    </row>
    <row r="2" spans="2:7" ht="22.5" x14ac:dyDescent="0.25">
      <c r="B2" s="6" t="s">
        <v>5</v>
      </c>
      <c r="C2" s="7">
        <v>43585</v>
      </c>
      <c r="D2" s="7">
        <v>43860</v>
      </c>
      <c r="E2" s="6" t="s">
        <v>6</v>
      </c>
      <c r="F2" s="8">
        <v>73300</v>
      </c>
      <c r="G2" s="9">
        <v>73300</v>
      </c>
    </row>
    <row r="3" spans="2:7" ht="22.5" x14ac:dyDescent="0.25">
      <c r="B3" s="6" t="s">
        <v>7</v>
      </c>
      <c r="C3" s="7">
        <v>43598</v>
      </c>
      <c r="D3" s="7">
        <v>43861</v>
      </c>
      <c r="E3" s="6" t="s">
        <v>8</v>
      </c>
      <c r="F3" s="8">
        <v>10693050</v>
      </c>
      <c r="G3" s="9">
        <v>95456.614890202502</v>
      </c>
    </row>
    <row r="4" spans="2:7" ht="22.5" x14ac:dyDescent="0.25">
      <c r="B4" s="6" t="s">
        <v>7</v>
      </c>
      <c r="C4" s="7">
        <v>43836</v>
      </c>
      <c r="D4" s="7">
        <v>44135</v>
      </c>
      <c r="E4" s="6" t="s">
        <v>8</v>
      </c>
      <c r="F4" s="8">
        <v>2751769</v>
      </c>
      <c r="G4" s="9">
        <v>24202.0140721184</v>
      </c>
    </row>
    <row r="5" spans="2:7" ht="22.5" x14ac:dyDescent="0.25">
      <c r="B5" s="6" t="s">
        <v>7</v>
      </c>
      <c r="C5" s="7">
        <v>43875</v>
      </c>
      <c r="D5" s="7">
        <v>43881</v>
      </c>
      <c r="E5" s="6" t="s">
        <v>8</v>
      </c>
      <c r="F5" s="8">
        <v>569700</v>
      </c>
      <c r="G5" s="9">
        <v>4997.3684210523998</v>
      </c>
    </row>
    <row r="6" spans="2:7" x14ac:dyDescent="0.25">
      <c r="B6" s="6" t="s">
        <v>9</v>
      </c>
      <c r="C6" s="7">
        <v>43875</v>
      </c>
      <c r="D6" s="7">
        <v>43881</v>
      </c>
      <c r="E6" s="6" t="s">
        <v>8</v>
      </c>
      <c r="F6" s="8">
        <v>1615600</v>
      </c>
      <c r="G6" s="9">
        <v>14171.929824560801</v>
      </c>
    </row>
    <row r="7" spans="2:7" x14ac:dyDescent="0.25">
      <c r="B7" s="6" t="s">
        <v>10</v>
      </c>
      <c r="C7" s="7">
        <v>43875</v>
      </c>
      <c r="D7" s="7">
        <v>43881</v>
      </c>
      <c r="E7" s="6" t="s">
        <v>8</v>
      </c>
      <c r="F7" s="8">
        <v>1600300</v>
      </c>
      <c r="G7" s="9">
        <v>14037.719298245</v>
      </c>
    </row>
    <row r="8" spans="2:7" x14ac:dyDescent="0.25">
      <c r="B8" s="6" t="s">
        <v>11</v>
      </c>
      <c r="C8" s="7">
        <v>43875</v>
      </c>
      <c r="D8" s="7">
        <v>43935</v>
      </c>
      <c r="E8" s="6" t="s">
        <v>8</v>
      </c>
      <c r="F8" s="8">
        <v>2127000</v>
      </c>
      <c r="G8" s="9">
        <v>18657.894736841201</v>
      </c>
    </row>
    <row r="9" spans="2:7" ht="22.5" x14ac:dyDescent="0.25">
      <c r="B9" s="6" t="s">
        <v>12</v>
      </c>
      <c r="C9" s="7">
        <v>43863</v>
      </c>
      <c r="D9" s="7">
        <v>44092</v>
      </c>
      <c r="E9" s="6" t="s">
        <v>8</v>
      </c>
      <c r="F9" s="8">
        <v>1905000</v>
      </c>
      <c r="G9" s="9">
        <v>16710.526315788698</v>
      </c>
    </row>
    <row r="10" spans="2:7" x14ac:dyDescent="0.25">
      <c r="B10" s="6" t="s">
        <v>13</v>
      </c>
      <c r="C10" s="7">
        <v>43862</v>
      </c>
      <c r="D10" s="7">
        <v>44113</v>
      </c>
      <c r="E10" s="6" t="s">
        <v>8</v>
      </c>
      <c r="F10" s="8">
        <v>1988000</v>
      </c>
      <c r="G10" s="9">
        <v>17438.596491227301</v>
      </c>
    </row>
    <row r="11" spans="2:7" ht="22.5" x14ac:dyDescent="0.25">
      <c r="B11" s="6" t="s">
        <v>7</v>
      </c>
      <c r="C11" s="7">
        <v>43875</v>
      </c>
      <c r="D11" s="7">
        <v>44286</v>
      </c>
      <c r="E11" s="6" t="s">
        <v>8</v>
      </c>
      <c r="F11" s="8">
        <v>1899000</v>
      </c>
      <c r="G11" s="9">
        <v>15725.4057634985</v>
      </c>
    </row>
    <row r="12" spans="2:7" ht="22.5" x14ac:dyDescent="0.25">
      <c r="B12" s="6" t="s">
        <v>14</v>
      </c>
      <c r="C12" s="7">
        <v>44027</v>
      </c>
      <c r="D12" s="7">
        <v>44316</v>
      </c>
      <c r="E12" s="6" t="s">
        <v>8</v>
      </c>
      <c r="F12" s="8">
        <v>2845876</v>
      </c>
      <c r="G12" s="9">
        <v>23566.379595893701</v>
      </c>
    </row>
    <row r="13" spans="2:7" ht="22.5" x14ac:dyDescent="0.25">
      <c r="B13" s="6" t="s">
        <v>7</v>
      </c>
      <c r="C13" s="7">
        <v>44019</v>
      </c>
      <c r="D13" s="7">
        <v>44253</v>
      </c>
      <c r="E13" s="6" t="s">
        <v>8</v>
      </c>
      <c r="F13" s="8">
        <v>11753001</v>
      </c>
      <c r="G13" s="9">
        <v>97325.281550186497</v>
      </c>
    </row>
    <row r="14" spans="2:7" ht="22.5" x14ac:dyDescent="0.25">
      <c r="B14" s="6" t="s">
        <v>5</v>
      </c>
      <c r="C14" s="7">
        <v>44015</v>
      </c>
      <c r="D14" s="7">
        <v>44316</v>
      </c>
      <c r="E14" s="6" t="s">
        <v>6</v>
      </c>
      <c r="F14" s="8">
        <v>97683</v>
      </c>
      <c r="G14" s="9">
        <v>97683</v>
      </c>
    </row>
    <row r="15" spans="2:7" x14ac:dyDescent="0.25">
      <c r="B15" s="6" t="s">
        <v>15</v>
      </c>
      <c r="C15" s="7">
        <v>44194</v>
      </c>
      <c r="D15" s="7">
        <v>44651</v>
      </c>
      <c r="E15" s="6" t="s">
        <v>8</v>
      </c>
      <c r="F15" s="8">
        <v>1894500</v>
      </c>
      <c r="G15" s="9">
        <v>16065.976933514699</v>
      </c>
    </row>
    <row r="16" spans="2:7" x14ac:dyDescent="0.25">
      <c r="B16" s="6" t="s">
        <v>16</v>
      </c>
      <c r="C16" s="7">
        <v>44193</v>
      </c>
      <c r="D16" s="7">
        <v>44650</v>
      </c>
      <c r="E16" s="6" t="s">
        <v>8</v>
      </c>
      <c r="F16" s="8">
        <v>797000</v>
      </c>
      <c r="G16" s="9">
        <v>6758.8195386704901</v>
      </c>
    </row>
    <row r="17" spans="2:7" x14ac:dyDescent="0.25">
      <c r="B17" s="6" t="s">
        <v>17</v>
      </c>
      <c r="C17" s="7">
        <v>44194</v>
      </c>
      <c r="D17" s="7">
        <v>44651</v>
      </c>
      <c r="E17" s="6" t="s">
        <v>8</v>
      </c>
      <c r="F17" s="8">
        <v>1626500</v>
      </c>
      <c r="G17" s="9">
        <v>13793.2496607874</v>
      </c>
    </row>
    <row r="18" spans="2:7" x14ac:dyDescent="0.25">
      <c r="B18" s="6" t="s">
        <v>18</v>
      </c>
      <c r="C18" s="7">
        <v>44194</v>
      </c>
      <c r="D18" s="7">
        <v>44651</v>
      </c>
      <c r="E18" s="6" t="s">
        <v>8</v>
      </c>
      <c r="F18" s="8">
        <v>1078950</v>
      </c>
      <c r="G18" s="9">
        <v>9149.8473541386702</v>
      </c>
    </row>
    <row r="19" spans="2:7" x14ac:dyDescent="0.25">
      <c r="B19" s="6" t="s">
        <v>19</v>
      </c>
      <c r="C19" s="7">
        <v>44193</v>
      </c>
      <c r="D19" s="7">
        <v>44650</v>
      </c>
      <c r="E19" s="6" t="s">
        <v>8</v>
      </c>
      <c r="F19" s="8">
        <v>727500</v>
      </c>
      <c r="G19" s="9">
        <v>6169.4369063773902</v>
      </c>
    </row>
    <row r="20" spans="2:7" x14ac:dyDescent="0.25">
      <c r="B20" s="6" t="s">
        <v>20</v>
      </c>
      <c r="C20" s="7">
        <v>44193</v>
      </c>
      <c r="D20" s="7">
        <v>44651</v>
      </c>
      <c r="E20" s="6" t="s">
        <v>8</v>
      </c>
      <c r="F20" s="8">
        <v>1052300</v>
      </c>
      <c r="G20" s="9">
        <v>8923.8466757126098</v>
      </c>
    </row>
    <row r="21" spans="2:7" x14ac:dyDescent="0.25">
      <c r="B21" s="6" t="s">
        <v>21</v>
      </c>
      <c r="C21" s="7">
        <v>44194</v>
      </c>
      <c r="D21" s="7">
        <v>44651</v>
      </c>
      <c r="E21" s="6" t="s">
        <v>8</v>
      </c>
      <c r="F21" s="8">
        <v>1495800</v>
      </c>
      <c r="G21" s="9">
        <v>12684.871099050601</v>
      </c>
    </row>
    <row r="22" spans="2:7" ht="22.5" x14ac:dyDescent="0.25">
      <c r="B22" s="6" t="s">
        <v>7</v>
      </c>
      <c r="C22" s="7">
        <v>44421</v>
      </c>
      <c r="D22" s="7">
        <v>44712</v>
      </c>
      <c r="E22" s="6" t="s">
        <v>8</v>
      </c>
      <c r="F22" s="8">
        <v>11599270</v>
      </c>
      <c r="G22" s="9">
        <v>97710.976328863893</v>
      </c>
    </row>
    <row r="23" spans="2:7" ht="22.5" x14ac:dyDescent="0.25">
      <c r="B23" s="6" t="s">
        <v>5</v>
      </c>
      <c r="C23" s="7">
        <v>44421</v>
      </c>
      <c r="D23" s="7">
        <v>44712</v>
      </c>
      <c r="E23" s="6" t="s">
        <v>6</v>
      </c>
      <c r="F23" s="8">
        <v>79823</v>
      </c>
      <c r="G23" s="9">
        <v>79823</v>
      </c>
    </row>
    <row r="24" spans="2:7" x14ac:dyDescent="0.25">
      <c r="B24" s="6" t="s">
        <v>11</v>
      </c>
      <c r="C24" s="7">
        <v>44546</v>
      </c>
      <c r="D24" s="7">
        <v>44985</v>
      </c>
      <c r="E24" s="6" t="s">
        <v>8</v>
      </c>
      <c r="F24" s="8">
        <v>1531412</v>
      </c>
      <c r="G24" s="9">
        <v>12757.514161946099</v>
      </c>
    </row>
    <row r="25" spans="2:7" x14ac:dyDescent="0.25">
      <c r="B25" s="6" t="s">
        <v>10</v>
      </c>
      <c r="C25" s="7">
        <v>44545</v>
      </c>
      <c r="D25" s="7">
        <v>44985</v>
      </c>
      <c r="E25" s="6" t="s">
        <v>8</v>
      </c>
      <c r="F25" s="8">
        <v>1524090</v>
      </c>
      <c r="G25" s="9">
        <v>12696.517827391001</v>
      </c>
    </row>
    <row r="26" spans="2:7" ht="22.5" x14ac:dyDescent="0.25">
      <c r="B26" s="6" t="s">
        <v>12</v>
      </c>
      <c r="C26" s="7">
        <v>44546</v>
      </c>
      <c r="D26" s="7">
        <v>44985</v>
      </c>
      <c r="E26" s="6" t="s">
        <v>8</v>
      </c>
      <c r="F26" s="8">
        <v>1632190</v>
      </c>
      <c r="G26" s="9">
        <v>13597.0509830058</v>
      </c>
    </row>
    <row r="27" spans="2:7" x14ac:dyDescent="0.25">
      <c r="B27" s="6" t="s">
        <v>9</v>
      </c>
      <c r="C27" s="7">
        <v>44545</v>
      </c>
      <c r="D27" s="7">
        <v>44985</v>
      </c>
      <c r="E27" s="6" t="s">
        <v>8</v>
      </c>
      <c r="F27" s="8">
        <v>1599586</v>
      </c>
      <c r="G27" s="9">
        <v>13325.441519493599</v>
      </c>
    </row>
    <row r="28" spans="2:7" x14ac:dyDescent="0.25">
      <c r="B28" s="6" t="s">
        <v>13</v>
      </c>
      <c r="C28" s="7">
        <v>44551</v>
      </c>
      <c r="D28" s="7">
        <v>44985</v>
      </c>
      <c r="E28" s="6" t="s">
        <v>8</v>
      </c>
      <c r="F28" s="8">
        <v>1428956</v>
      </c>
      <c r="G28" s="9">
        <v>11903.998667111</v>
      </c>
    </row>
    <row r="29" spans="2:7" x14ac:dyDescent="0.25">
      <c r="B29" s="6" t="s">
        <v>22</v>
      </c>
      <c r="C29" s="7">
        <v>44552</v>
      </c>
      <c r="D29" s="7">
        <v>44985</v>
      </c>
      <c r="E29" s="6" t="s">
        <v>8</v>
      </c>
      <c r="F29" s="8">
        <v>1554190</v>
      </c>
      <c r="G29" s="9">
        <v>12947.2675774743</v>
      </c>
    </row>
    <row r="30" spans="2:7" x14ac:dyDescent="0.25">
      <c r="B30" s="6" t="s">
        <v>23</v>
      </c>
      <c r="C30" s="7">
        <v>44552</v>
      </c>
      <c r="D30" s="7">
        <v>44985</v>
      </c>
      <c r="E30" s="6" t="s">
        <v>8</v>
      </c>
      <c r="F30" s="8">
        <v>1506708</v>
      </c>
      <c r="G30" s="9">
        <v>12551.7160946352</v>
      </c>
    </row>
    <row r="31" spans="2:7" x14ac:dyDescent="0.25">
      <c r="B31" s="6" t="s">
        <v>24</v>
      </c>
      <c r="C31" s="7">
        <v>44557</v>
      </c>
      <c r="D31" s="7">
        <v>44985</v>
      </c>
      <c r="E31" s="6" t="s">
        <v>8</v>
      </c>
      <c r="F31" s="8">
        <v>1504695</v>
      </c>
      <c r="G31" s="9">
        <v>12534.946684438601</v>
      </c>
    </row>
    <row r="32" spans="2:7" ht="22.5" x14ac:dyDescent="0.25">
      <c r="B32" s="6" t="s">
        <v>5</v>
      </c>
      <c r="C32" s="7">
        <v>44835</v>
      </c>
      <c r="D32" s="7">
        <v>45138</v>
      </c>
      <c r="E32" s="6" t="s">
        <v>6</v>
      </c>
      <c r="F32" s="8">
        <v>90942</v>
      </c>
      <c r="G32" s="9">
        <v>90942</v>
      </c>
    </row>
    <row r="33" spans="2:7" ht="22.5" x14ac:dyDescent="0.25">
      <c r="B33" s="6" t="s">
        <v>7</v>
      </c>
      <c r="C33" s="7">
        <v>44896</v>
      </c>
      <c r="D33" s="7">
        <v>45199</v>
      </c>
      <c r="E33" s="6" t="s">
        <v>8</v>
      </c>
      <c r="F33" s="8">
        <v>12919370</v>
      </c>
      <c r="G33" s="9">
        <v>98908.8111224194</v>
      </c>
    </row>
    <row r="34" spans="2:7" x14ac:dyDescent="0.25">
      <c r="B34" s="6" t="s">
        <v>25</v>
      </c>
      <c r="C34" s="7">
        <v>44907</v>
      </c>
      <c r="D34" s="7">
        <v>45271</v>
      </c>
      <c r="E34" s="6" t="s">
        <v>8</v>
      </c>
      <c r="F34" s="8">
        <v>2519750</v>
      </c>
      <c r="G34" s="9">
        <v>19019.2777995828</v>
      </c>
    </row>
    <row r="35" spans="2:7" x14ac:dyDescent="0.25">
      <c r="B35" s="6" t="s">
        <v>26</v>
      </c>
      <c r="C35" s="7">
        <v>44907</v>
      </c>
      <c r="D35" s="7">
        <v>45271</v>
      </c>
      <c r="E35" s="6" t="s">
        <v>8</v>
      </c>
      <c r="F35" s="8">
        <v>2153750</v>
      </c>
      <c r="G35" s="9">
        <v>16256.6800519304</v>
      </c>
    </row>
    <row r="36" spans="2:7" ht="22.5" x14ac:dyDescent="0.25">
      <c r="B36" s="6" t="s">
        <v>27</v>
      </c>
      <c r="C36" s="7">
        <v>44911</v>
      </c>
      <c r="D36" s="7">
        <v>45271</v>
      </c>
      <c r="E36" s="6" t="s">
        <v>8</v>
      </c>
      <c r="F36" s="8">
        <v>2285750</v>
      </c>
      <c r="G36" s="9">
        <v>17253.026780591899</v>
      </c>
    </row>
    <row r="37" spans="2:7" x14ac:dyDescent="0.25">
      <c r="B37" s="6" t="s">
        <v>28</v>
      </c>
      <c r="C37" s="7">
        <v>44916</v>
      </c>
      <c r="D37" s="7">
        <v>45280</v>
      </c>
      <c r="E37" s="6" t="s">
        <v>8</v>
      </c>
      <c r="F37" s="8">
        <v>2198000</v>
      </c>
      <c r="G37" s="9">
        <v>16590.682648470302</v>
      </c>
    </row>
    <row r="38" spans="2:7" x14ac:dyDescent="0.25">
      <c r="B38" s="6" t="s">
        <v>29</v>
      </c>
      <c r="C38" s="7">
        <v>44916</v>
      </c>
      <c r="D38" s="7">
        <v>45280</v>
      </c>
      <c r="E38" s="6" t="s">
        <v>8</v>
      </c>
      <c r="F38" s="8">
        <v>2000000</v>
      </c>
      <c r="G38" s="9">
        <v>15096.162555478</v>
      </c>
    </row>
    <row r="39" spans="2:7" x14ac:dyDescent="0.25">
      <c r="B39" s="6" t="s">
        <v>30</v>
      </c>
      <c r="C39" s="7">
        <v>44923</v>
      </c>
      <c r="D39" s="7">
        <v>45287</v>
      </c>
      <c r="E39" s="6" t="s">
        <v>8</v>
      </c>
      <c r="F39" s="8">
        <v>2546250</v>
      </c>
      <c r="G39" s="9">
        <v>19239.0515912599</v>
      </c>
    </row>
    <row r="40" spans="2:7" x14ac:dyDescent="0.25">
      <c r="B40" s="6" t="s">
        <v>15</v>
      </c>
      <c r="C40" s="7">
        <v>45257</v>
      </c>
      <c r="D40" s="7">
        <v>45622</v>
      </c>
      <c r="E40" s="6" t="s">
        <v>8</v>
      </c>
      <c r="F40" s="8">
        <v>2651500</v>
      </c>
      <c r="G40" s="9">
        <v>19916.174051511302</v>
      </c>
    </row>
    <row r="41" spans="2:7" x14ac:dyDescent="0.25">
      <c r="B41" s="6" t="s">
        <v>31</v>
      </c>
      <c r="C41" s="7">
        <v>45257</v>
      </c>
      <c r="D41" s="7">
        <v>45622</v>
      </c>
      <c r="E41" s="6" t="s">
        <v>8</v>
      </c>
      <c r="F41" s="8">
        <v>2555560</v>
      </c>
      <c r="G41" s="9">
        <v>19195.541300803401</v>
      </c>
    </row>
    <row r="42" spans="2:7" x14ac:dyDescent="0.25">
      <c r="B42" s="6" t="s">
        <v>32</v>
      </c>
      <c r="C42" s="7">
        <v>45257</v>
      </c>
      <c r="D42" s="7">
        <v>45622</v>
      </c>
      <c r="E42" s="6" t="s">
        <v>8</v>
      </c>
      <c r="F42" s="8">
        <v>2528580</v>
      </c>
      <c r="G42" s="9">
        <v>18992.886812434601</v>
      </c>
    </row>
    <row r="43" spans="2:7" x14ac:dyDescent="0.25">
      <c r="B43" s="6" t="s">
        <v>33</v>
      </c>
      <c r="C43" s="7">
        <v>45257</v>
      </c>
      <c r="D43" s="7">
        <v>45622</v>
      </c>
      <c r="E43" s="6" t="s">
        <v>8</v>
      </c>
      <c r="F43" s="8">
        <v>2499860</v>
      </c>
      <c r="G43" s="9">
        <v>18777.162686936099</v>
      </c>
    </row>
    <row r="44" spans="2:7" x14ac:dyDescent="0.25">
      <c r="B44" s="6" t="s">
        <v>10</v>
      </c>
      <c r="C44" s="7">
        <v>45266</v>
      </c>
      <c r="D44" s="7">
        <v>45631</v>
      </c>
      <c r="E44" s="6" t="s">
        <v>8</v>
      </c>
      <c r="F44" s="8">
        <v>2575820</v>
      </c>
      <c r="G44" s="9">
        <v>19322.466187072801</v>
      </c>
    </row>
    <row r="45" spans="2:7" x14ac:dyDescent="0.25">
      <c r="B45" s="6" t="s">
        <v>9</v>
      </c>
      <c r="C45" s="7">
        <v>45266</v>
      </c>
      <c r="D45" s="7">
        <v>45631</v>
      </c>
      <c r="E45" s="6" t="s">
        <v>8</v>
      </c>
      <c r="F45" s="8">
        <v>2443780</v>
      </c>
      <c r="G45" s="9">
        <v>18331.970564187199</v>
      </c>
    </row>
    <row r="46" spans="2:7" ht="22.5" x14ac:dyDescent="0.25">
      <c r="B46" s="6" t="s">
        <v>12</v>
      </c>
      <c r="C46" s="7">
        <v>45271</v>
      </c>
      <c r="D46" s="7">
        <v>45636</v>
      </c>
      <c r="E46" s="6" t="s">
        <v>8</v>
      </c>
      <c r="F46" s="8">
        <v>2487200</v>
      </c>
      <c r="G46" s="9">
        <v>18657.6848927672</v>
      </c>
    </row>
    <row r="47" spans="2:7" ht="22.5" x14ac:dyDescent="0.25">
      <c r="B47" s="6" t="s">
        <v>7</v>
      </c>
      <c r="C47" s="7">
        <v>45283</v>
      </c>
      <c r="D47" s="7">
        <v>45648</v>
      </c>
      <c r="E47" s="6" t="s">
        <v>8</v>
      </c>
      <c r="F47" s="8">
        <v>12945664</v>
      </c>
      <c r="G47" s="9">
        <v>97111.659552765996</v>
      </c>
    </row>
    <row r="48" spans="2:7" ht="22.5" x14ac:dyDescent="0.25">
      <c r="B48" s="6" t="s">
        <v>34</v>
      </c>
      <c r="C48" s="7">
        <v>45299</v>
      </c>
      <c r="D48" s="7">
        <v>45412</v>
      </c>
      <c r="E48" s="6" t="s">
        <v>8</v>
      </c>
      <c r="F48" s="8">
        <v>3253745</v>
      </c>
      <c r="G48" s="9">
        <v>24493.898629169002</v>
      </c>
    </row>
    <row r="49" spans="2:7" x14ac:dyDescent="0.25">
      <c r="B49" s="6" t="s">
        <v>35</v>
      </c>
      <c r="C49" s="7">
        <v>45589</v>
      </c>
      <c r="D49" s="7">
        <v>45953</v>
      </c>
      <c r="E49" s="6" t="s">
        <v>8</v>
      </c>
      <c r="F49" s="8">
        <v>3175825</v>
      </c>
      <c r="G49" s="9">
        <v>23620.687090463001</v>
      </c>
    </row>
    <row r="50" spans="2:7" x14ac:dyDescent="0.25">
      <c r="B50" s="6" t="s">
        <v>36</v>
      </c>
      <c r="C50" s="7">
        <v>45590</v>
      </c>
      <c r="D50" s="7">
        <v>45954</v>
      </c>
      <c r="E50" s="6" t="s">
        <v>8</v>
      </c>
      <c r="F50" s="8">
        <v>3072348</v>
      </c>
      <c r="G50" s="9">
        <v>22851.060981322898</v>
      </c>
    </row>
    <row r="51" spans="2:7" x14ac:dyDescent="0.25">
      <c r="B51" s="6" t="s">
        <v>37</v>
      </c>
      <c r="C51" s="7">
        <v>45610</v>
      </c>
      <c r="D51" s="7">
        <v>45974</v>
      </c>
      <c r="E51" s="6" t="s">
        <v>8</v>
      </c>
      <c r="F51" s="8">
        <v>3087175</v>
      </c>
      <c r="G51" s="9">
        <v>22961.339075200998</v>
      </c>
    </row>
    <row r="52" spans="2:7" x14ac:dyDescent="0.25">
      <c r="B52" s="6" t="s">
        <v>38</v>
      </c>
      <c r="C52" s="7">
        <v>45594</v>
      </c>
      <c r="D52" s="7">
        <v>45958</v>
      </c>
      <c r="E52" s="6" t="s">
        <v>8</v>
      </c>
      <c r="F52" s="8">
        <v>3160835</v>
      </c>
      <c r="G52" s="9">
        <v>23509.196659004701</v>
      </c>
    </row>
    <row r="53" spans="2:7" x14ac:dyDescent="0.25">
      <c r="B53" s="6" t="s">
        <v>39</v>
      </c>
      <c r="C53" s="7">
        <v>45596</v>
      </c>
      <c r="D53" s="7">
        <v>45960</v>
      </c>
      <c r="E53" s="6" t="s">
        <v>8</v>
      </c>
      <c r="F53" s="8">
        <v>3127475</v>
      </c>
      <c r="G53" s="9">
        <v>23261.0765260195</v>
      </c>
    </row>
    <row r="54" spans="2:7" x14ac:dyDescent="0.25">
      <c r="B54" s="6" t="s">
        <v>40</v>
      </c>
      <c r="C54" s="7">
        <v>45614</v>
      </c>
      <c r="D54" s="7">
        <v>45978</v>
      </c>
      <c r="E54" s="6" t="s">
        <v>8</v>
      </c>
      <c r="F54" s="8">
        <v>3170125</v>
      </c>
      <c r="G54" s="9">
        <v>23483.973005608099</v>
      </c>
    </row>
    <row r="55" spans="2:7" x14ac:dyDescent="0.25">
      <c r="B55" s="6" t="s">
        <v>41</v>
      </c>
      <c r="C55" s="7">
        <v>45622</v>
      </c>
      <c r="D55" s="7">
        <v>45986</v>
      </c>
      <c r="E55" s="6" t="s">
        <v>8</v>
      </c>
      <c r="F55" s="8">
        <v>2973850</v>
      </c>
      <c r="G55" s="9">
        <v>22029.987184331101</v>
      </c>
    </row>
    <row r="56" spans="2:7" x14ac:dyDescent="0.25">
      <c r="B56" s="6" t="s">
        <v>42</v>
      </c>
      <c r="C56" s="7">
        <v>45618</v>
      </c>
      <c r="D56" s="7">
        <v>45982</v>
      </c>
      <c r="E56" s="6" t="s">
        <v>8</v>
      </c>
      <c r="F56" s="8">
        <v>3246925</v>
      </c>
      <c r="G56" s="9">
        <v>24052.899822951498</v>
      </c>
    </row>
    <row r="57" spans="2:7" ht="22.5" x14ac:dyDescent="0.25">
      <c r="B57" s="6" t="s">
        <v>43</v>
      </c>
      <c r="C57" s="7">
        <v>45618</v>
      </c>
      <c r="D57" s="7">
        <v>45982</v>
      </c>
      <c r="E57" s="6" t="s">
        <v>8</v>
      </c>
      <c r="F57" s="8">
        <v>3181375</v>
      </c>
      <c r="G57" s="9">
        <v>23567.311894867398</v>
      </c>
    </row>
    <row r="58" spans="2:7" x14ac:dyDescent="0.25">
      <c r="B58" s="6" t="s">
        <v>44</v>
      </c>
      <c r="C58" s="7">
        <v>45625</v>
      </c>
      <c r="D58" s="7">
        <v>45989</v>
      </c>
      <c r="E58" s="6" t="s">
        <v>8</v>
      </c>
      <c r="F58" s="8">
        <v>3300750</v>
      </c>
      <c r="G58" s="9">
        <v>24430.274815149602</v>
      </c>
    </row>
    <row r="59" spans="2:7" x14ac:dyDescent="0.25">
      <c r="B59" s="6" t="s">
        <v>45</v>
      </c>
      <c r="C59" s="7">
        <v>45632</v>
      </c>
      <c r="D59" s="7">
        <v>45996</v>
      </c>
      <c r="E59" s="6" t="s">
        <v>8</v>
      </c>
      <c r="F59" s="8">
        <v>3339850</v>
      </c>
      <c r="G59" s="9">
        <v>24719.670784330101</v>
      </c>
    </row>
    <row r="60" spans="2:7" x14ac:dyDescent="0.25">
      <c r="B60" s="6" t="s">
        <v>46</v>
      </c>
      <c r="C60" s="7">
        <v>45643</v>
      </c>
      <c r="D60" s="7">
        <v>46007</v>
      </c>
      <c r="E60" s="6" t="s">
        <v>8</v>
      </c>
      <c r="F60" s="8">
        <v>3330120</v>
      </c>
      <c r="G60" s="9">
        <v>24535.608505370099</v>
      </c>
    </row>
    <row r="61" spans="2:7" x14ac:dyDescent="0.25">
      <c r="B61" s="6" t="s">
        <v>47</v>
      </c>
      <c r="C61" s="7">
        <v>45653</v>
      </c>
      <c r="D61" s="7">
        <v>45773</v>
      </c>
      <c r="E61" s="6" t="s">
        <v>8</v>
      </c>
      <c r="F61" s="8">
        <v>3322250</v>
      </c>
      <c r="G61" s="9">
        <v>24477.624036661098</v>
      </c>
    </row>
    <row r="62" spans="2:7" x14ac:dyDescent="0.25">
      <c r="B62" s="6" t="s">
        <v>47</v>
      </c>
      <c r="C62" s="7">
        <v>45774</v>
      </c>
      <c r="D62" s="7">
        <v>46021</v>
      </c>
      <c r="E62" s="6" t="s">
        <v>8</v>
      </c>
      <c r="F62" s="8">
        <v>3321425</v>
      </c>
      <c r="G62" s="9">
        <v>24352.765639204699</v>
      </c>
    </row>
    <row r="63" spans="2:7" ht="22.5" x14ac:dyDescent="0.25">
      <c r="B63" s="6" t="s">
        <v>7</v>
      </c>
      <c r="C63" s="7">
        <v>45655</v>
      </c>
      <c r="D63" s="7">
        <v>46019</v>
      </c>
      <c r="E63" s="6" t="s">
        <v>8</v>
      </c>
      <c r="F63" s="8">
        <v>13279190</v>
      </c>
      <c r="G63" s="9">
        <v>97838.218174848196</v>
      </c>
    </row>
    <row r="64" spans="2:7" x14ac:dyDescent="0.25">
      <c r="B64" s="6" t="s">
        <v>48</v>
      </c>
      <c r="C64" s="7">
        <v>45821</v>
      </c>
      <c r="D64" s="7">
        <v>46081</v>
      </c>
      <c r="E64" s="6" t="s">
        <v>8</v>
      </c>
      <c r="F64" s="8">
        <v>4099262</v>
      </c>
      <c r="G64" s="9">
        <v>29963.3942211414</v>
      </c>
    </row>
    <row r="65" spans="2:7" x14ac:dyDescent="0.25">
      <c r="B65" s="6" t="s">
        <v>49</v>
      </c>
      <c r="C65" s="7">
        <v>45862</v>
      </c>
      <c r="D65" s="7">
        <v>46166</v>
      </c>
      <c r="E65" s="6" t="s">
        <v>8</v>
      </c>
      <c r="F65" s="8">
        <v>2306960</v>
      </c>
      <c r="G65" s="9">
        <v>16493.4832810238</v>
      </c>
    </row>
    <row r="66" spans="2:7" x14ac:dyDescent="0.25">
      <c r="B66" s="6" t="s">
        <v>50</v>
      </c>
      <c r="C66" s="7">
        <v>45863</v>
      </c>
      <c r="D66" s="7">
        <v>46167</v>
      </c>
      <c r="E66" s="6" t="s">
        <v>8</v>
      </c>
      <c r="F66" s="8">
        <v>1366332</v>
      </c>
      <c r="G66" s="9">
        <v>9768.5152747892698</v>
      </c>
    </row>
    <row r="67" spans="2:7" x14ac:dyDescent="0.25">
      <c r="B67" s="6" t="s">
        <v>48</v>
      </c>
      <c r="C67" s="7">
        <v>45821</v>
      </c>
      <c r="D67" s="7">
        <v>46203</v>
      </c>
      <c r="E67" s="6" t="s">
        <v>8</v>
      </c>
      <c r="F67" s="8">
        <v>2869483</v>
      </c>
      <c r="G67" s="9">
        <v>20515.2104439098</v>
      </c>
    </row>
    <row r="68" spans="2:7" ht="22.5" x14ac:dyDescent="0.25">
      <c r="B68" s="6" t="s">
        <v>7</v>
      </c>
      <c r="C68" s="7">
        <v>46021</v>
      </c>
      <c r="D68" s="7">
        <v>46233</v>
      </c>
      <c r="E68" s="6" t="s">
        <v>8</v>
      </c>
      <c r="F68" s="8">
        <v>6112279</v>
      </c>
      <c r="G68" s="9">
        <v>42374.874343987001</v>
      </c>
    </row>
    <row r="69" spans="2:7" x14ac:dyDescent="0.25">
      <c r="B69" s="2"/>
      <c r="C69" s="2"/>
      <c r="D69" s="2"/>
      <c r="E69" s="2"/>
      <c r="F69" s="3"/>
      <c r="G69" s="1"/>
    </row>
  </sheetData>
  <autoFilter ref="B1:G6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3B3F-E409-45F5-97BC-CA1DC2935DA5}">
  <dimension ref="B2:I27"/>
  <sheetViews>
    <sheetView showGridLines="0" workbookViewId="0">
      <selection activeCell="B19" sqref="B19"/>
    </sheetView>
  </sheetViews>
  <sheetFormatPr defaultRowHeight="15" x14ac:dyDescent="0.25"/>
  <cols>
    <col min="2" max="2" width="39.140625" customWidth="1"/>
    <col min="3" max="9" width="14" customWidth="1"/>
  </cols>
  <sheetData>
    <row r="2" spans="2:9" ht="22.5" x14ac:dyDescent="0.25">
      <c r="B2" s="10" t="s">
        <v>51</v>
      </c>
      <c r="C2" s="10" t="s">
        <v>52</v>
      </c>
      <c r="D2" s="10" t="s">
        <v>53</v>
      </c>
      <c r="E2" s="10" t="s">
        <v>0</v>
      </c>
      <c r="F2" s="10" t="s">
        <v>1</v>
      </c>
      <c r="G2" s="10" t="s">
        <v>2</v>
      </c>
      <c r="H2" s="10" t="s">
        <v>54</v>
      </c>
      <c r="I2" s="10" t="s">
        <v>55</v>
      </c>
    </row>
    <row r="3" spans="2:9" ht="22.5" x14ac:dyDescent="0.25">
      <c r="B3" s="11" t="s">
        <v>56</v>
      </c>
      <c r="C3" s="11" t="s">
        <v>57</v>
      </c>
      <c r="D3" s="11" t="s">
        <v>58</v>
      </c>
      <c r="E3" s="12">
        <v>45284</v>
      </c>
      <c r="F3" s="12">
        <v>45649</v>
      </c>
      <c r="G3" s="11" t="s">
        <v>8</v>
      </c>
      <c r="H3" s="13">
        <v>2694500</v>
      </c>
      <c r="I3" s="13">
        <v>20283.952754839702</v>
      </c>
    </row>
    <row r="4" spans="2:9" ht="22.5" x14ac:dyDescent="0.25">
      <c r="B4" s="11" t="s">
        <v>59</v>
      </c>
      <c r="C4" s="11" t="s">
        <v>60</v>
      </c>
      <c r="D4" s="11" t="s">
        <v>58</v>
      </c>
      <c r="E4" s="12">
        <v>45284</v>
      </c>
      <c r="F4" s="12">
        <v>45777</v>
      </c>
      <c r="G4" s="11" t="s">
        <v>8</v>
      </c>
      <c r="H4" s="13">
        <v>5993866</v>
      </c>
      <c r="I4" s="13">
        <v>45121.282153587003</v>
      </c>
    </row>
    <row r="5" spans="2:9" ht="22.5" x14ac:dyDescent="0.25">
      <c r="B5" s="11" t="s">
        <v>61</v>
      </c>
      <c r="C5" s="11" t="s">
        <v>62</v>
      </c>
      <c r="D5" s="11" t="s">
        <v>58</v>
      </c>
      <c r="E5" s="12">
        <v>45288</v>
      </c>
      <c r="F5" s="12">
        <v>45653</v>
      </c>
      <c r="G5" s="11" t="s">
        <v>8</v>
      </c>
      <c r="H5" s="13">
        <v>2199000</v>
      </c>
      <c r="I5" s="13">
        <v>16553.873485950098</v>
      </c>
    </row>
    <row r="6" spans="2:9" ht="22.5" x14ac:dyDescent="0.25">
      <c r="B6" s="11" t="s">
        <v>63</v>
      </c>
      <c r="C6" s="11" t="s">
        <v>64</v>
      </c>
      <c r="D6" s="11" t="s">
        <v>58</v>
      </c>
      <c r="E6" s="12">
        <v>45288</v>
      </c>
      <c r="F6" s="12">
        <v>45653</v>
      </c>
      <c r="G6" s="11" t="s">
        <v>8</v>
      </c>
      <c r="H6" s="13">
        <v>2937500</v>
      </c>
      <c r="I6" s="13">
        <v>22113.234818089299</v>
      </c>
    </row>
    <row r="7" spans="2:9" ht="22.5" x14ac:dyDescent="0.25">
      <c r="B7" s="11" t="s">
        <v>65</v>
      </c>
      <c r="C7" s="11" t="s">
        <v>66</v>
      </c>
      <c r="D7" s="11" t="s">
        <v>58</v>
      </c>
      <c r="E7" s="12">
        <v>45284</v>
      </c>
      <c r="F7" s="12">
        <v>45649</v>
      </c>
      <c r="G7" s="11" t="s">
        <v>8</v>
      </c>
      <c r="H7" s="13">
        <v>5988500</v>
      </c>
      <c r="I7" s="13">
        <v>45080.887390001</v>
      </c>
    </row>
    <row r="8" spans="2:9" ht="22.5" x14ac:dyDescent="0.25">
      <c r="B8" s="11" t="s">
        <v>67</v>
      </c>
      <c r="C8" s="11" t="s">
        <v>68</v>
      </c>
      <c r="D8" s="11" t="s">
        <v>58</v>
      </c>
      <c r="E8" s="12">
        <v>45630</v>
      </c>
      <c r="F8" s="12">
        <v>45994</v>
      </c>
      <c r="G8" s="11" t="s">
        <v>8</v>
      </c>
      <c r="H8" s="13">
        <v>6351101</v>
      </c>
      <c r="I8" s="13">
        <v>47007.238599946002</v>
      </c>
    </row>
    <row r="9" spans="2:9" ht="22.5" x14ac:dyDescent="0.25">
      <c r="B9" s="11" t="s">
        <v>69</v>
      </c>
      <c r="C9" s="11" t="s">
        <v>70</v>
      </c>
      <c r="D9" s="11" t="s">
        <v>58</v>
      </c>
      <c r="E9" s="12">
        <v>45630</v>
      </c>
      <c r="F9" s="12">
        <v>45994</v>
      </c>
      <c r="G9" s="11" t="s">
        <v>8</v>
      </c>
      <c r="H9" s="13">
        <v>6526585</v>
      </c>
      <c r="I9" s="13">
        <v>48306.071394208397</v>
      </c>
    </row>
    <row r="10" spans="2:9" ht="22.5" x14ac:dyDescent="0.25">
      <c r="B10" s="11" t="s">
        <v>71</v>
      </c>
      <c r="C10" s="11" t="s">
        <v>72</v>
      </c>
      <c r="D10" s="11" t="s">
        <v>58</v>
      </c>
      <c r="E10" s="12">
        <v>45634</v>
      </c>
      <c r="F10" s="12">
        <v>45998</v>
      </c>
      <c r="G10" s="11" t="s">
        <v>8</v>
      </c>
      <c r="H10" s="13">
        <v>6674630</v>
      </c>
      <c r="I10" s="13">
        <v>49401.816311275397</v>
      </c>
    </row>
    <row r="11" spans="2:9" ht="22.5" x14ac:dyDescent="0.25">
      <c r="B11" s="11" t="s">
        <v>73</v>
      </c>
      <c r="C11" s="11" t="s">
        <v>64</v>
      </c>
      <c r="D11" s="11" t="s">
        <v>58</v>
      </c>
      <c r="E11" s="12">
        <v>45636</v>
      </c>
      <c r="F11" s="12">
        <v>46000</v>
      </c>
      <c r="G11" s="11" t="s">
        <v>8</v>
      </c>
      <c r="H11" s="13">
        <v>6673850</v>
      </c>
      <c r="I11" s="13">
        <v>49171.492565902801</v>
      </c>
    </row>
    <row r="12" spans="2:9" ht="22.5" x14ac:dyDescent="0.25">
      <c r="B12" s="11" t="s">
        <v>74</v>
      </c>
      <c r="C12" s="11" t="s">
        <v>75</v>
      </c>
      <c r="D12" s="11" t="s">
        <v>58</v>
      </c>
      <c r="E12" s="12">
        <v>45642</v>
      </c>
      <c r="F12" s="12">
        <v>46006</v>
      </c>
      <c r="G12" s="11" t="s">
        <v>8</v>
      </c>
      <c r="H12" s="13">
        <v>4586767</v>
      </c>
      <c r="I12" s="13">
        <v>33794.313543461198</v>
      </c>
    </row>
    <row r="13" spans="2:9" ht="22.5" x14ac:dyDescent="0.25">
      <c r="B13" s="11" t="s">
        <v>76</v>
      </c>
      <c r="C13" s="11" t="s">
        <v>75</v>
      </c>
      <c r="D13" s="11" t="s">
        <v>58</v>
      </c>
      <c r="E13" s="12">
        <v>45642</v>
      </c>
      <c r="F13" s="12">
        <v>46006</v>
      </c>
      <c r="G13" s="11" t="s">
        <v>8</v>
      </c>
      <c r="H13" s="13">
        <v>5116239</v>
      </c>
      <c r="I13" s="13">
        <v>37695.349454045601</v>
      </c>
    </row>
    <row r="14" spans="2:9" ht="22.5" x14ac:dyDescent="0.25">
      <c r="B14" s="11" t="s">
        <v>77</v>
      </c>
      <c r="C14" s="11" t="s">
        <v>78</v>
      </c>
      <c r="D14" s="11" t="s">
        <v>58</v>
      </c>
      <c r="E14" s="12">
        <v>45643</v>
      </c>
      <c r="F14" s="12">
        <v>46007</v>
      </c>
      <c r="G14" s="11" t="s">
        <v>8</v>
      </c>
      <c r="H14" s="13">
        <v>5353845</v>
      </c>
      <c r="I14" s="13">
        <v>39445.979399671203</v>
      </c>
    </row>
    <row r="15" spans="2:9" ht="22.5" x14ac:dyDescent="0.25">
      <c r="B15" s="11" t="s">
        <v>79</v>
      </c>
      <c r="C15" s="11" t="s">
        <v>80</v>
      </c>
      <c r="D15" s="11" t="s">
        <v>58</v>
      </c>
      <c r="E15" s="12">
        <v>45643</v>
      </c>
      <c r="F15" s="12">
        <v>46007</v>
      </c>
      <c r="G15" s="11" t="s">
        <v>8</v>
      </c>
      <c r="H15" s="13">
        <v>3983805</v>
      </c>
      <c r="I15" s="13">
        <v>29351.819106139101</v>
      </c>
    </row>
    <row r="16" spans="2:9" ht="22.5" x14ac:dyDescent="0.25">
      <c r="B16" s="11" t="s">
        <v>81</v>
      </c>
      <c r="C16" s="11" t="s">
        <v>82</v>
      </c>
      <c r="D16" s="11" t="s">
        <v>58</v>
      </c>
      <c r="E16" s="12">
        <v>45643</v>
      </c>
      <c r="F16" s="12">
        <v>46112</v>
      </c>
      <c r="G16" s="11" t="s">
        <v>8</v>
      </c>
      <c r="H16" s="13">
        <v>6371595</v>
      </c>
      <c r="I16" s="13">
        <v>46944.542681577099</v>
      </c>
    </row>
    <row r="17" spans="2:9" ht="22.5" x14ac:dyDescent="0.25">
      <c r="B17" s="11" t="s">
        <v>83</v>
      </c>
      <c r="C17" s="11" t="s">
        <v>84</v>
      </c>
      <c r="D17" s="11" t="s">
        <v>58</v>
      </c>
      <c r="E17" s="12">
        <v>45643</v>
      </c>
      <c r="F17" s="12">
        <v>46007</v>
      </c>
      <c r="G17" s="11" t="s">
        <v>8</v>
      </c>
      <c r="H17" s="13">
        <v>4054100</v>
      </c>
      <c r="I17" s="13">
        <v>29869.737559493598</v>
      </c>
    </row>
    <row r="18" spans="2:9" ht="22.5" x14ac:dyDescent="0.25">
      <c r="B18" s="11" t="s">
        <v>65</v>
      </c>
      <c r="C18" s="11" t="s">
        <v>66</v>
      </c>
      <c r="D18" s="11" t="s">
        <v>58</v>
      </c>
      <c r="E18" s="12">
        <v>45918</v>
      </c>
      <c r="F18" s="12">
        <v>46203</v>
      </c>
      <c r="G18" s="11" t="s">
        <v>8</v>
      </c>
      <c r="H18" s="13">
        <v>4244320</v>
      </c>
      <c r="I18" s="13">
        <v>30056.794844557498</v>
      </c>
    </row>
    <row r="19" spans="2:9" ht="22.5" x14ac:dyDescent="0.25">
      <c r="B19" s="11" t="s">
        <v>63</v>
      </c>
      <c r="C19" s="11" t="s">
        <v>64</v>
      </c>
      <c r="D19" s="11" t="s">
        <v>58</v>
      </c>
      <c r="E19" s="12">
        <v>45918</v>
      </c>
      <c r="F19" s="12">
        <v>46203</v>
      </c>
      <c r="G19" s="11" t="s">
        <v>8</v>
      </c>
      <c r="H19" s="13">
        <v>3191425</v>
      </c>
      <c r="I19" s="13">
        <v>22600.559450463599</v>
      </c>
    </row>
    <row r="20" spans="2:9" ht="22.5" x14ac:dyDescent="0.25">
      <c r="B20" s="11" t="s">
        <v>32</v>
      </c>
      <c r="C20" s="11" t="s">
        <v>85</v>
      </c>
      <c r="D20" s="11" t="s">
        <v>58</v>
      </c>
      <c r="E20" s="12">
        <v>45918</v>
      </c>
      <c r="F20" s="12">
        <v>46203</v>
      </c>
      <c r="G20" s="11" t="s">
        <v>8</v>
      </c>
      <c r="H20" s="13">
        <v>4225700</v>
      </c>
      <c r="I20" s="13">
        <v>29924.934494723901</v>
      </c>
    </row>
    <row r="21" spans="2:9" ht="22.5" x14ac:dyDescent="0.25">
      <c r="B21" s="11" t="s">
        <v>9</v>
      </c>
      <c r="C21" s="11" t="s">
        <v>86</v>
      </c>
      <c r="D21" s="11" t="s">
        <v>58</v>
      </c>
      <c r="E21" s="12">
        <v>45943</v>
      </c>
      <c r="F21" s="12">
        <v>46203</v>
      </c>
      <c r="G21" s="11" t="s">
        <v>8</v>
      </c>
      <c r="H21" s="13">
        <v>4347475</v>
      </c>
      <c r="I21" s="13">
        <v>30678.2417861594</v>
      </c>
    </row>
    <row r="22" spans="2:9" ht="22.5" x14ac:dyDescent="0.25">
      <c r="B22" s="11" t="s">
        <v>12</v>
      </c>
      <c r="C22" s="11" t="s">
        <v>87</v>
      </c>
      <c r="D22" s="11" t="s">
        <v>58</v>
      </c>
      <c r="E22" s="12">
        <v>45940</v>
      </c>
      <c r="F22" s="12">
        <v>46203</v>
      </c>
      <c r="G22" s="11" t="s">
        <v>8</v>
      </c>
      <c r="H22" s="13">
        <v>3408040</v>
      </c>
      <c r="I22" s="13">
        <v>24049.057242859901</v>
      </c>
    </row>
    <row r="23" spans="2:9" ht="22.5" x14ac:dyDescent="0.25">
      <c r="B23" s="11" t="s">
        <v>88</v>
      </c>
      <c r="C23" s="11" t="s">
        <v>75</v>
      </c>
      <c r="D23" s="11" t="s">
        <v>58</v>
      </c>
      <c r="E23" s="12">
        <v>45940</v>
      </c>
      <c r="F23" s="12">
        <v>46203</v>
      </c>
      <c r="G23" s="11" t="s">
        <v>8</v>
      </c>
      <c r="H23" s="13">
        <v>8114290</v>
      </c>
      <c r="I23" s="13">
        <v>57259.018290620399</v>
      </c>
    </row>
    <row r="24" spans="2:9" ht="22.5" x14ac:dyDescent="0.25">
      <c r="B24" s="11" t="s">
        <v>89</v>
      </c>
      <c r="C24" s="11" t="s">
        <v>90</v>
      </c>
      <c r="D24" s="11" t="s">
        <v>58</v>
      </c>
      <c r="E24" s="12">
        <v>45940</v>
      </c>
      <c r="F24" s="12">
        <v>46203</v>
      </c>
      <c r="G24" s="11" t="s">
        <v>8</v>
      </c>
      <c r="H24" s="13">
        <v>3771960</v>
      </c>
      <c r="I24" s="13">
        <v>26617.082533590601</v>
      </c>
    </row>
    <row r="25" spans="2:9" ht="22.5" x14ac:dyDescent="0.25">
      <c r="B25" s="11" t="s">
        <v>91</v>
      </c>
      <c r="C25" s="11" t="s">
        <v>90</v>
      </c>
      <c r="D25" s="11" t="s">
        <v>58</v>
      </c>
      <c r="E25" s="12">
        <v>45940</v>
      </c>
      <c r="F25" s="12">
        <v>46203</v>
      </c>
      <c r="G25" s="11" t="s">
        <v>8</v>
      </c>
      <c r="H25" s="13">
        <v>3884240</v>
      </c>
      <c r="I25" s="13">
        <v>27409.393699899701</v>
      </c>
    </row>
    <row r="26" spans="2:9" ht="22.5" x14ac:dyDescent="0.25">
      <c r="B26" s="11" t="s">
        <v>92</v>
      </c>
      <c r="C26" s="11" t="s">
        <v>93</v>
      </c>
      <c r="D26" s="11" t="s">
        <v>58</v>
      </c>
      <c r="E26" s="12">
        <v>45940</v>
      </c>
      <c r="F26" s="12">
        <v>46203</v>
      </c>
      <c r="G26" s="11" t="s">
        <v>8</v>
      </c>
      <c r="H26" s="13">
        <v>4438360</v>
      </c>
      <c r="I26" s="13">
        <v>31319.577735126299</v>
      </c>
    </row>
    <row r="27" spans="2:9" x14ac:dyDescent="0.25">
      <c r="B27" s="14"/>
      <c r="C27" s="14"/>
      <c r="D27" s="14"/>
      <c r="E27" s="14"/>
      <c r="F27" s="14"/>
      <c r="G27" s="14"/>
      <c r="H27" s="15">
        <f>SUM(H3:H26)</f>
        <v>115131693</v>
      </c>
      <c r="I2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 (2019-26)</vt:lpstr>
      <vt:lpstr>DBG (2023-26)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2026-06-08T11:35:08Z</dcterms:created>
  <dcterms:modified xsi:type="dcterms:W3CDTF">2026-09-08T04:39:31Z</dcterms:modified>
  <cp:category/>
  <cp:contentStatus/>
</cp:coreProperties>
</file>